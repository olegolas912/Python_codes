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GitHub\Python_codes\sorting\"/>
    </mc:Choice>
  </mc:AlternateContent>
  <xr:revisionPtr revIDLastSave="0" documentId="13_ncr:1_{6D7D5888-A9B9-4B2E-8DC2-25267C3EBB1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105е" sheetId="2" r:id="rId1"/>
    <sheet name="104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" i="2" l="1"/>
  <c r="AH6" i="2"/>
  <c r="AH24" i="2"/>
  <c r="AH23" i="2"/>
  <c r="AH18" i="1"/>
  <c r="AH17" i="1"/>
  <c r="AH18" i="2"/>
  <c r="AH17" i="2"/>
  <c r="AH13" i="2"/>
  <c r="AH12" i="2"/>
  <c r="AH12" i="1"/>
  <c r="AH11" i="1"/>
  <c r="AH7" i="1"/>
  <c r="AH6" i="1"/>
</calcChain>
</file>

<file path=xl/sharedStrings.xml><?xml version="1.0" encoding="utf-8"?>
<sst xmlns="http://schemas.openxmlformats.org/spreadsheetml/2006/main" count="53" uniqueCount="9">
  <si>
    <t>Дата</t>
  </si>
  <si>
    <t>Среднее</t>
  </si>
  <si>
    <t>Pбуф, атм</t>
  </si>
  <si>
    <t>Pзат, атм</t>
  </si>
  <si>
    <t>Dшт, мм</t>
  </si>
  <si>
    <t>Мусор</t>
  </si>
  <si>
    <t>мусор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</si>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</sst>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H26"/>
  <sheetViews>
    <sheetView tabSelected="1" workbookViewId="0">
      <selection activeCell="B5" sqref="B5"/>
    </sheetView>
  </sheetViews>
  <sheetFormatPr defaultRowHeight="14.5" x14ac:dyDescent="0.35"/>
  <cols>
    <col min="1" max="1" width="12.453125" style="5" bestFit="1" customWidth="1"/>
    <col min="2" max="2" width="9.1796875" bestFit="1" customWidth="1"/>
    <col min="3" max="4" width="1.81640625" style="3" bestFit="1" customWidth="1"/>
    <col min="5" max="5" width="2.81640625" style="3" bestFit="1" customWidth="1"/>
    <col min="6" max="6" width="1.81640625" style="3" bestFit="1" customWidth="1"/>
    <col min="7" max="7" width="1.81640625" style="2" bestFit="1" customWidth="1"/>
    <col min="8" max="9" width="1.81640625" style="3" bestFit="1" customWidth="1"/>
    <col min="10" max="10" width="1.81640625" style="2" bestFit="1" customWidth="1"/>
    <col min="11" max="11" width="1.81640625" style="3" bestFit="1" customWidth="1"/>
    <col min="12" max="12" width="2.81640625" style="3" bestFit="1" customWidth="1"/>
    <col min="13" max="13" width="2.81640625" style="2" bestFit="1" customWidth="1"/>
    <col min="14" max="15" width="2.81640625" style="3" bestFit="1" customWidth="1"/>
    <col min="16" max="17" width="2.81640625" style="2" bestFit="1" customWidth="1"/>
    <col min="18" max="18" width="2.81640625" style="3" bestFit="1" customWidth="1"/>
    <col min="19" max="19" width="2.81640625" style="2" bestFit="1" customWidth="1"/>
    <col min="20" max="20" width="2.81640625" style="3" bestFit="1" customWidth="1"/>
    <col min="21" max="21" width="2.81640625" style="2" bestFit="1" customWidth="1"/>
    <col min="22" max="22" width="2.81640625" style="3" bestFit="1" customWidth="1"/>
    <col min="23" max="23" width="2.81640625" style="2" bestFit="1" customWidth="1"/>
    <col min="24" max="24" width="2.81640625" style="3" bestFit="1" customWidth="1"/>
    <col min="25" max="25" width="2.81640625" style="2" bestFit="1" customWidth="1"/>
    <col min="26" max="26" width="2.81640625" style="3" bestFit="1" customWidth="1"/>
    <col min="27" max="27" width="2.81640625" style="2" bestFit="1" customWidth="1"/>
    <col min="28" max="28" width="2.81640625" style="3" bestFit="1" customWidth="1"/>
    <col min="29" max="29" width="2.81640625" style="2" bestFit="1" customWidth="1"/>
    <col min="30" max="31" width="2.81640625" style="3" bestFit="1" customWidth="1"/>
    <col min="32" max="32" width="3.81640625" style="2" bestFit="1" customWidth="1"/>
    <col min="33" max="33" width="2.81640625" style="3" bestFit="1" customWidth="1"/>
    <col min="34" max="34" width="8.1796875" style="2" bestFit="1" customWidth="1"/>
  </cols>
  <sheetData>
    <row r="1" spans="1:34" x14ac:dyDescent="0.35">
      <c r="A1" s="5" t="s">
        <v>6</v>
      </c>
    </row>
    <row r="2" spans="1:34" x14ac:dyDescent="0.35">
      <c r="A2" s="5" t="s">
        <v>6</v>
      </c>
    </row>
    <row r="4" spans="1:34" x14ac:dyDescent="0.35">
      <c r="B4">
        <v>2023</v>
      </c>
    </row>
    <row r="5" spans="1:34" x14ac:dyDescent="0.35">
      <c r="A5" s="6" t="s">
        <v>8</v>
      </c>
      <c r="B5" t="s">
        <v>0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  <c r="I5" s="1">
        <v>7</v>
      </c>
      <c r="J5" s="1">
        <v>8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  <c r="S5" s="1">
        <v>17</v>
      </c>
      <c r="T5" s="1">
        <v>18</v>
      </c>
      <c r="U5" s="1">
        <v>19</v>
      </c>
      <c r="V5" s="1">
        <v>20</v>
      </c>
      <c r="W5" s="1">
        <v>21</v>
      </c>
      <c r="X5" s="1">
        <v>22</v>
      </c>
      <c r="Y5" s="1">
        <v>23</v>
      </c>
      <c r="Z5" s="1">
        <v>24</v>
      </c>
      <c r="AA5" s="1">
        <v>25</v>
      </c>
      <c r="AB5" s="1">
        <v>26</v>
      </c>
      <c r="AC5" s="1">
        <v>27</v>
      </c>
      <c r="AD5" s="1">
        <v>28</v>
      </c>
      <c r="AE5" s="1">
        <v>29</v>
      </c>
      <c r="AF5" s="1">
        <v>30</v>
      </c>
      <c r="AG5" s="1">
        <v>31</v>
      </c>
      <c r="AH5" s="2" t="s">
        <v>1</v>
      </c>
    </row>
    <row r="6" spans="1:34" x14ac:dyDescent="0.35">
      <c r="A6" s="7"/>
      <c r="B6" t="s">
        <v>2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5</v>
      </c>
      <c r="X6" s="1">
        <v>1</v>
      </c>
      <c r="AD6" s="1">
        <v>1</v>
      </c>
      <c r="AE6" s="1">
        <v>1</v>
      </c>
      <c r="AF6" s="1">
        <v>1</v>
      </c>
      <c r="AG6" s="1">
        <v>7</v>
      </c>
      <c r="AH6" s="4">
        <f>GEOMEAN(C6:AG6)</f>
        <v>1.1465347771919159</v>
      </c>
    </row>
    <row r="7" spans="1:34" x14ac:dyDescent="0.35">
      <c r="A7" s="7"/>
      <c r="B7" t="s">
        <v>3</v>
      </c>
      <c r="C7" s="1">
        <v>4</v>
      </c>
      <c r="E7" s="1">
        <v>4</v>
      </c>
      <c r="F7" s="1">
        <v>4</v>
      </c>
      <c r="L7" s="1">
        <v>2</v>
      </c>
      <c r="Q7" s="1">
        <v>4</v>
      </c>
      <c r="T7" s="1">
        <v>5</v>
      </c>
      <c r="W7" s="1">
        <v>6</v>
      </c>
      <c r="Y7" s="1">
        <v>6</v>
      </c>
      <c r="AA7" s="1">
        <v>7</v>
      </c>
      <c r="AD7" s="1">
        <v>3</v>
      </c>
      <c r="AE7" s="1">
        <v>2</v>
      </c>
      <c r="AG7" s="1">
        <v>8</v>
      </c>
      <c r="AH7" s="4">
        <f>GEOMEAN(C7:AG7)</f>
        <v>4.2095933559396199</v>
      </c>
    </row>
    <row r="8" spans="1:34" x14ac:dyDescent="0.35">
      <c r="A8" s="7"/>
      <c r="B8" t="s">
        <v>4</v>
      </c>
      <c r="D8" s="1">
        <v>1</v>
      </c>
      <c r="E8" s="1">
        <v>4</v>
      </c>
      <c r="F8" s="1">
        <v>3</v>
      </c>
      <c r="G8" s="1">
        <v>3</v>
      </c>
      <c r="I8" s="1">
        <v>3</v>
      </c>
      <c r="J8" s="1">
        <v>2</v>
      </c>
      <c r="L8" s="1">
        <v>2</v>
      </c>
      <c r="N8" s="1">
        <v>3</v>
      </c>
      <c r="S8" s="1">
        <v>21</v>
      </c>
      <c r="T8" s="1">
        <v>3</v>
      </c>
      <c r="U8" s="1">
        <v>1</v>
      </c>
      <c r="W8" s="1">
        <v>23</v>
      </c>
      <c r="X8" s="1">
        <v>3</v>
      </c>
      <c r="Y8" s="1">
        <v>1</v>
      </c>
      <c r="Z8" s="1">
        <v>3</v>
      </c>
      <c r="AA8" s="1">
        <v>12</v>
      </c>
      <c r="AC8" s="1">
        <v>2</v>
      </c>
      <c r="AD8" s="1">
        <v>3</v>
      </c>
      <c r="AF8" s="1">
        <v>312</v>
      </c>
      <c r="AH8" s="1">
        <v>11</v>
      </c>
    </row>
    <row r="9" spans="1:34" x14ac:dyDescent="0.35">
      <c r="A9" s="7"/>
      <c r="B9" t="s">
        <v>6</v>
      </c>
      <c r="C9" s="1">
        <v>1</v>
      </c>
      <c r="D9" s="1">
        <v>2</v>
      </c>
      <c r="E9" s="1">
        <v>2</v>
      </c>
      <c r="F9" s="1">
        <v>4</v>
      </c>
      <c r="H9" s="1">
        <v>4</v>
      </c>
      <c r="I9" s="1">
        <v>3</v>
      </c>
      <c r="K9" s="1">
        <v>2</v>
      </c>
      <c r="L9" s="1">
        <v>3</v>
      </c>
      <c r="N9" s="1">
        <v>3</v>
      </c>
      <c r="O9" s="1">
        <v>4</v>
      </c>
      <c r="R9" s="1">
        <v>2</v>
      </c>
      <c r="T9" s="1">
        <v>5</v>
      </c>
      <c r="V9" s="1">
        <v>52</v>
      </c>
      <c r="X9" s="1">
        <v>2</v>
      </c>
      <c r="Z9" s="1">
        <v>3</v>
      </c>
      <c r="AB9" s="1">
        <v>1</v>
      </c>
      <c r="AD9" s="1">
        <v>2</v>
      </c>
      <c r="AE9" s="1">
        <v>1</v>
      </c>
      <c r="AG9" s="1">
        <v>3</v>
      </c>
    </row>
    <row r="10" spans="1:34" x14ac:dyDescent="0.35">
      <c r="B10">
        <v>2024</v>
      </c>
    </row>
    <row r="11" spans="1:34" ht="18.75" customHeight="1" x14ac:dyDescent="0.35">
      <c r="A11" s="6" t="s">
        <v>7</v>
      </c>
      <c r="B11" t="s">
        <v>0</v>
      </c>
      <c r="C11" s="1">
        <v>1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1">
        <v>7</v>
      </c>
      <c r="J11" s="1">
        <v>8</v>
      </c>
      <c r="K11" s="1">
        <v>9</v>
      </c>
      <c r="L11" s="1">
        <v>10</v>
      </c>
      <c r="M11" s="1">
        <v>11</v>
      </c>
      <c r="N11" s="1">
        <v>12</v>
      </c>
      <c r="O11" s="1">
        <v>13</v>
      </c>
      <c r="P11" s="1">
        <v>14</v>
      </c>
      <c r="Q11" s="1">
        <v>15</v>
      </c>
      <c r="R11" s="1">
        <v>16</v>
      </c>
      <c r="S11" s="1">
        <v>17</v>
      </c>
      <c r="T11" s="1">
        <v>18</v>
      </c>
      <c r="U11" s="1">
        <v>19</v>
      </c>
      <c r="V11" s="1">
        <v>20</v>
      </c>
      <c r="W11" s="1">
        <v>21</v>
      </c>
      <c r="X11" s="1">
        <v>22</v>
      </c>
      <c r="Y11" s="1">
        <v>23</v>
      </c>
      <c r="Z11" s="1">
        <v>24</v>
      </c>
      <c r="AA11" s="1">
        <v>25</v>
      </c>
      <c r="AB11" s="1">
        <v>26</v>
      </c>
      <c r="AC11" s="1">
        <v>27</v>
      </c>
      <c r="AD11" s="1">
        <v>28</v>
      </c>
      <c r="AE11" s="1">
        <v>29</v>
      </c>
      <c r="AF11" s="1">
        <v>30</v>
      </c>
      <c r="AG11" s="1">
        <v>31</v>
      </c>
      <c r="AH11" s="2" t="s">
        <v>1</v>
      </c>
    </row>
    <row r="12" spans="1:34" ht="18.75" customHeight="1" x14ac:dyDescent="0.35">
      <c r="A12" s="7"/>
      <c r="B12" t="s">
        <v>2</v>
      </c>
      <c r="C12" s="1">
        <v>1</v>
      </c>
      <c r="D12" s="1">
        <v>1</v>
      </c>
      <c r="E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U12" s="1">
        <v>1</v>
      </c>
      <c r="V12" s="1">
        <v>1</v>
      </c>
      <c r="W12" s="1">
        <v>2</v>
      </c>
      <c r="Y12" s="1">
        <v>1</v>
      </c>
      <c r="Z12" s="1">
        <v>1</v>
      </c>
      <c r="AA12" s="1">
        <v>1</v>
      </c>
      <c r="AC12" s="1">
        <v>1</v>
      </c>
      <c r="AF12" s="1">
        <v>6</v>
      </c>
      <c r="AH12" s="4">
        <f>GEOMEAN(C12:AG12)</f>
        <v>1.1140916615195251</v>
      </c>
    </row>
    <row r="13" spans="1:34" ht="18.75" customHeight="1" x14ac:dyDescent="0.35">
      <c r="A13" s="7"/>
      <c r="B13" t="s">
        <v>3</v>
      </c>
      <c r="C13" s="1">
        <v>1</v>
      </c>
      <c r="D13" s="1">
        <v>1</v>
      </c>
      <c r="F13" s="1">
        <v>1</v>
      </c>
      <c r="G13" s="1">
        <v>1</v>
      </c>
      <c r="H13" s="1">
        <v>1</v>
      </c>
      <c r="J13" s="1">
        <v>1</v>
      </c>
      <c r="K13" s="1">
        <v>1</v>
      </c>
      <c r="L13" s="1">
        <v>1</v>
      </c>
      <c r="N13" s="1">
        <v>1</v>
      </c>
      <c r="O13" s="1">
        <v>1</v>
      </c>
      <c r="P13" s="1">
        <v>1</v>
      </c>
      <c r="R13" s="1">
        <v>1</v>
      </c>
      <c r="S13" s="1">
        <v>1</v>
      </c>
      <c r="T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B13" s="1">
        <v>1</v>
      </c>
      <c r="AC13" s="1">
        <v>1</v>
      </c>
      <c r="AD13" s="1">
        <v>1</v>
      </c>
      <c r="AE13" s="1">
        <v>8</v>
      </c>
      <c r="AH13" s="4">
        <f>GEOMEAN(C13:AG13)</f>
        <v>1.0946235364347188</v>
      </c>
    </row>
    <row r="14" spans="1:34" ht="18.75" customHeight="1" x14ac:dyDescent="0.35">
      <c r="A14" s="7"/>
      <c r="B14" t="s">
        <v>4</v>
      </c>
      <c r="C14" s="1">
        <v>3</v>
      </c>
      <c r="E14" s="1">
        <v>3</v>
      </c>
      <c r="G14" s="1">
        <v>2</v>
      </c>
      <c r="I14" s="1">
        <v>1</v>
      </c>
      <c r="M14" s="1">
        <v>12</v>
      </c>
      <c r="T14" s="1">
        <v>6</v>
      </c>
      <c r="Y14" s="1">
        <v>5</v>
      </c>
      <c r="AA14" s="1">
        <v>4</v>
      </c>
      <c r="AB14" s="1">
        <v>3</v>
      </c>
      <c r="AC14" s="1">
        <v>3</v>
      </c>
      <c r="AD14" s="1">
        <v>3</v>
      </c>
      <c r="AE14" s="1">
        <v>2</v>
      </c>
      <c r="AH14" s="1">
        <v>7</v>
      </c>
    </row>
    <row r="15" spans="1:34" ht="18.75" customHeight="1" x14ac:dyDescent="0.35">
      <c r="A15" s="7"/>
      <c r="B15" t="s">
        <v>5</v>
      </c>
      <c r="E15" s="1">
        <v>12</v>
      </c>
      <c r="F15" s="1">
        <v>3</v>
      </c>
      <c r="H15" s="1">
        <v>4</v>
      </c>
      <c r="K15" s="1">
        <v>5</v>
      </c>
      <c r="M15" s="1">
        <v>6</v>
      </c>
      <c r="P15" s="1">
        <v>7</v>
      </c>
      <c r="Q15" s="1">
        <v>8</v>
      </c>
      <c r="U15" s="1">
        <v>2</v>
      </c>
      <c r="V15" s="1">
        <v>1</v>
      </c>
      <c r="Y15" s="1">
        <v>4</v>
      </c>
      <c r="Z15" s="1">
        <v>3</v>
      </c>
      <c r="AC15" s="1">
        <v>2</v>
      </c>
      <c r="AF15" s="1">
        <v>3</v>
      </c>
    </row>
    <row r="16" spans="1:34" ht="18.75" customHeight="1" x14ac:dyDescent="0.35">
      <c r="A16" s="6" t="s">
        <v>8</v>
      </c>
      <c r="B16" t="s">
        <v>0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  <c r="H16" s="1">
        <v>6</v>
      </c>
      <c r="I16" s="1">
        <v>7</v>
      </c>
      <c r="J16" s="1">
        <v>8</v>
      </c>
      <c r="K16" s="1">
        <v>9</v>
      </c>
      <c r="L16" s="1">
        <v>10</v>
      </c>
      <c r="M16" s="1">
        <v>11</v>
      </c>
      <c r="N16" s="1">
        <v>12</v>
      </c>
      <c r="O16" s="1">
        <v>13</v>
      </c>
      <c r="P16" s="1">
        <v>14</v>
      </c>
      <c r="Q16" s="1">
        <v>15</v>
      </c>
      <c r="R16" s="1">
        <v>16</v>
      </c>
      <c r="S16" s="1">
        <v>17</v>
      </c>
      <c r="T16" s="1">
        <v>18</v>
      </c>
      <c r="U16" s="1">
        <v>19</v>
      </c>
      <c r="V16" s="1">
        <v>20</v>
      </c>
      <c r="W16" s="1">
        <v>21</v>
      </c>
      <c r="X16" s="1">
        <v>22</v>
      </c>
      <c r="Y16" s="1">
        <v>23</v>
      </c>
      <c r="Z16" s="1">
        <v>24</v>
      </c>
      <c r="AA16" s="1">
        <v>25</v>
      </c>
      <c r="AB16" s="1">
        <v>26</v>
      </c>
      <c r="AC16" s="1">
        <v>27</v>
      </c>
      <c r="AD16" s="1">
        <v>28</v>
      </c>
      <c r="AE16" s="1">
        <v>29</v>
      </c>
      <c r="AF16" s="1">
        <v>30</v>
      </c>
      <c r="AG16" s="1">
        <v>31</v>
      </c>
      <c r="AH16" s="2" t="s">
        <v>1</v>
      </c>
    </row>
    <row r="17" spans="1:34" ht="18.75" customHeight="1" x14ac:dyDescent="0.35">
      <c r="A17" s="7"/>
      <c r="B17" t="s">
        <v>2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5</v>
      </c>
      <c r="X17" s="1">
        <v>1</v>
      </c>
      <c r="AD17" s="1">
        <v>1</v>
      </c>
      <c r="AE17" s="1">
        <v>1</v>
      </c>
      <c r="AF17" s="1">
        <v>1</v>
      </c>
      <c r="AG17" s="1">
        <v>7</v>
      </c>
      <c r="AH17" s="4">
        <f>GEOMEAN(C17:AG17)</f>
        <v>1.1465347771919159</v>
      </c>
    </row>
    <row r="18" spans="1:34" ht="18.75" customHeight="1" x14ac:dyDescent="0.35">
      <c r="A18" s="7"/>
      <c r="B18" t="s">
        <v>3</v>
      </c>
      <c r="C18" s="1">
        <v>4</v>
      </c>
      <c r="E18" s="1">
        <v>4</v>
      </c>
      <c r="F18" s="1">
        <v>4</v>
      </c>
      <c r="L18" s="1">
        <v>2</v>
      </c>
      <c r="Q18" s="1">
        <v>4</v>
      </c>
      <c r="T18" s="1">
        <v>5</v>
      </c>
      <c r="W18" s="1">
        <v>6</v>
      </c>
      <c r="Y18" s="1">
        <v>6</v>
      </c>
      <c r="AA18" s="1">
        <v>7</v>
      </c>
      <c r="AD18" s="1">
        <v>3</v>
      </c>
      <c r="AE18" s="1">
        <v>2</v>
      </c>
      <c r="AG18" s="1">
        <v>8</v>
      </c>
      <c r="AH18" s="4">
        <f>GEOMEAN(C18:AG18)</f>
        <v>4.2095933559396199</v>
      </c>
    </row>
    <row r="19" spans="1:34" ht="18.75" customHeight="1" x14ac:dyDescent="0.35">
      <c r="A19" s="7"/>
      <c r="B19" t="s">
        <v>4</v>
      </c>
      <c r="D19" s="1">
        <v>1</v>
      </c>
      <c r="E19" s="1">
        <v>4</v>
      </c>
      <c r="F19" s="1">
        <v>3</v>
      </c>
      <c r="G19" s="1">
        <v>3</v>
      </c>
      <c r="I19" s="1">
        <v>3</v>
      </c>
      <c r="J19" s="1">
        <v>2</v>
      </c>
      <c r="L19" s="1">
        <v>2</v>
      </c>
      <c r="N19" s="1">
        <v>3</v>
      </c>
      <c r="S19" s="1">
        <v>21</v>
      </c>
      <c r="T19" s="1">
        <v>3</v>
      </c>
      <c r="U19" s="1">
        <v>1</v>
      </c>
      <c r="W19" s="1">
        <v>23</v>
      </c>
      <c r="X19" s="1">
        <v>3</v>
      </c>
      <c r="Y19" s="1">
        <v>1</v>
      </c>
      <c r="Z19" s="1">
        <v>3</v>
      </c>
      <c r="AA19" s="1">
        <v>12</v>
      </c>
      <c r="AC19" s="1">
        <v>2</v>
      </c>
      <c r="AD19" s="1">
        <v>3</v>
      </c>
      <c r="AF19" s="1">
        <v>312</v>
      </c>
      <c r="AH19" s="1">
        <v>11</v>
      </c>
    </row>
    <row r="20" spans="1:34" ht="18.75" customHeight="1" x14ac:dyDescent="0.35">
      <c r="A20" s="7"/>
      <c r="B20" t="s">
        <v>6</v>
      </c>
      <c r="C20" s="1">
        <v>1</v>
      </c>
      <c r="D20" s="1">
        <v>2</v>
      </c>
      <c r="E20" s="1">
        <v>2</v>
      </c>
      <c r="F20" s="1">
        <v>4</v>
      </c>
      <c r="H20" s="1">
        <v>4</v>
      </c>
      <c r="I20" s="1">
        <v>3</v>
      </c>
      <c r="K20" s="1">
        <v>2</v>
      </c>
      <c r="L20" s="1">
        <v>3</v>
      </c>
      <c r="N20" s="1">
        <v>3</v>
      </c>
      <c r="O20" s="1">
        <v>4</v>
      </c>
      <c r="R20" s="1">
        <v>2</v>
      </c>
      <c r="T20" s="1">
        <v>5</v>
      </c>
      <c r="V20" s="1">
        <v>52</v>
      </c>
      <c r="X20" s="1">
        <v>2</v>
      </c>
      <c r="Z20" s="1">
        <v>3</v>
      </c>
      <c r="AB20" s="1">
        <v>1</v>
      </c>
      <c r="AD20" s="1">
        <v>2</v>
      </c>
      <c r="AE20" s="1">
        <v>1</v>
      </c>
      <c r="AG20" s="1">
        <v>3</v>
      </c>
    </row>
    <row r="21" spans="1:34" x14ac:dyDescent="0.35">
      <c r="B21">
        <v>2025</v>
      </c>
    </row>
    <row r="22" spans="1:34" x14ac:dyDescent="0.35">
      <c r="A22" s="6" t="s">
        <v>8</v>
      </c>
      <c r="B22" t="s">
        <v>0</v>
      </c>
      <c r="C22" s="1">
        <v>1</v>
      </c>
      <c r="D22" s="1">
        <v>2</v>
      </c>
      <c r="E22" s="1">
        <v>3</v>
      </c>
      <c r="F22" s="1">
        <v>4</v>
      </c>
      <c r="G22" s="1">
        <v>5</v>
      </c>
      <c r="H22" s="1">
        <v>6</v>
      </c>
      <c r="I22" s="1">
        <v>7</v>
      </c>
      <c r="J22" s="1">
        <v>8</v>
      </c>
      <c r="K22" s="1">
        <v>9</v>
      </c>
      <c r="L22" s="1">
        <v>10</v>
      </c>
      <c r="M22" s="1">
        <v>11</v>
      </c>
      <c r="N22" s="1">
        <v>12</v>
      </c>
      <c r="O22" s="1">
        <v>13</v>
      </c>
      <c r="P22" s="1">
        <v>14</v>
      </c>
      <c r="Q22" s="1">
        <v>15</v>
      </c>
      <c r="R22" s="1">
        <v>16</v>
      </c>
      <c r="S22" s="1">
        <v>17</v>
      </c>
      <c r="T22" s="1">
        <v>18</v>
      </c>
      <c r="U22" s="1">
        <v>19</v>
      </c>
      <c r="V22" s="1">
        <v>20</v>
      </c>
      <c r="W22" s="1">
        <v>21</v>
      </c>
      <c r="X22" s="1">
        <v>22</v>
      </c>
      <c r="Y22" s="1">
        <v>23</v>
      </c>
      <c r="Z22" s="1">
        <v>24</v>
      </c>
      <c r="AA22" s="1">
        <v>25</v>
      </c>
      <c r="AB22" s="1">
        <v>26</v>
      </c>
      <c r="AC22" s="1">
        <v>27</v>
      </c>
      <c r="AD22" s="1">
        <v>28</v>
      </c>
      <c r="AE22" s="1">
        <v>29</v>
      </c>
      <c r="AF22" s="1">
        <v>30</v>
      </c>
      <c r="AG22" s="1">
        <v>31</v>
      </c>
      <c r="AH22" s="2" t="s">
        <v>1</v>
      </c>
    </row>
    <row r="23" spans="1:34" x14ac:dyDescent="0.35">
      <c r="A23" s="7"/>
      <c r="B23" t="s">
        <v>2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5</v>
      </c>
      <c r="X23" s="1">
        <v>1</v>
      </c>
      <c r="AD23" s="1">
        <v>1</v>
      </c>
      <c r="AE23" s="1">
        <v>1</v>
      </c>
      <c r="AF23" s="1">
        <v>1</v>
      </c>
      <c r="AG23" s="1">
        <v>7</v>
      </c>
      <c r="AH23" s="4">
        <f>GEOMEAN(C23:AG23)</f>
        <v>1.1465347771919159</v>
      </c>
    </row>
    <row r="24" spans="1:34" x14ac:dyDescent="0.35">
      <c r="A24" s="7"/>
      <c r="B24" t="s">
        <v>3</v>
      </c>
      <c r="C24" s="1">
        <v>4</v>
      </c>
      <c r="E24" s="1">
        <v>4</v>
      </c>
      <c r="F24" s="1">
        <v>4</v>
      </c>
      <c r="L24" s="1">
        <v>2</v>
      </c>
      <c r="Q24" s="1">
        <v>4</v>
      </c>
      <c r="T24" s="1">
        <v>5</v>
      </c>
      <c r="W24" s="1">
        <v>6</v>
      </c>
      <c r="Y24" s="1">
        <v>6</v>
      </c>
      <c r="AA24" s="1">
        <v>7</v>
      </c>
      <c r="AD24" s="1">
        <v>3</v>
      </c>
      <c r="AE24" s="1">
        <v>2</v>
      </c>
      <c r="AG24" s="1">
        <v>8</v>
      </c>
      <c r="AH24" s="4">
        <f>GEOMEAN(C24:AG24)</f>
        <v>4.2095933559396199</v>
      </c>
    </row>
    <row r="25" spans="1:34" x14ac:dyDescent="0.35">
      <c r="A25" s="7"/>
      <c r="B25" t="s">
        <v>4</v>
      </c>
      <c r="D25" s="1">
        <v>1</v>
      </c>
      <c r="E25" s="1">
        <v>4</v>
      </c>
      <c r="F25" s="1">
        <v>3</v>
      </c>
      <c r="G25" s="1">
        <v>3</v>
      </c>
      <c r="I25" s="1">
        <v>3</v>
      </c>
      <c r="J25" s="1">
        <v>2</v>
      </c>
      <c r="L25" s="1">
        <v>2</v>
      </c>
      <c r="N25" s="1">
        <v>3</v>
      </c>
      <c r="S25" s="1">
        <v>21</v>
      </c>
      <c r="T25" s="1">
        <v>3</v>
      </c>
      <c r="U25" s="1">
        <v>1</v>
      </c>
      <c r="W25" s="1">
        <v>23</v>
      </c>
      <c r="X25" s="1">
        <v>3</v>
      </c>
      <c r="Y25" s="1">
        <v>1</v>
      </c>
      <c r="Z25" s="1">
        <v>3</v>
      </c>
      <c r="AA25" s="1">
        <v>12</v>
      </c>
      <c r="AC25" s="1">
        <v>2</v>
      </c>
      <c r="AD25" s="1">
        <v>3</v>
      </c>
      <c r="AF25" s="1">
        <v>312</v>
      </c>
      <c r="AH25" s="1">
        <v>11</v>
      </c>
    </row>
    <row r="26" spans="1:34" x14ac:dyDescent="0.35">
      <c r="A26" s="7"/>
      <c r="B26" t="s">
        <v>6</v>
      </c>
      <c r="C26" s="1">
        <v>1</v>
      </c>
      <c r="D26" s="1">
        <v>2</v>
      </c>
      <c r="E26" s="1">
        <v>2</v>
      </c>
      <c r="F26" s="1">
        <v>4</v>
      </c>
      <c r="H26" s="1">
        <v>4</v>
      </c>
      <c r="I26" s="1">
        <v>3</v>
      </c>
      <c r="K26" s="1">
        <v>2</v>
      </c>
      <c r="L26" s="1">
        <v>3</v>
      </c>
      <c r="N26" s="1">
        <v>3</v>
      </c>
      <c r="O26" s="1">
        <v>4</v>
      </c>
      <c r="R26" s="1">
        <v>2</v>
      </c>
      <c r="T26" s="1">
        <v>5</v>
      </c>
      <c r="V26" s="1">
        <v>52</v>
      </c>
      <c r="X26" s="1">
        <v>2</v>
      </c>
      <c r="Z26" s="1">
        <v>3</v>
      </c>
      <c r="AB26" s="1">
        <v>1</v>
      </c>
      <c r="AD26" s="1">
        <v>2</v>
      </c>
      <c r="AE26" s="1">
        <v>1</v>
      </c>
      <c r="AG26" s="1">
        <v>3</v>
      </c>
    </row>
  </sheetData>
  <mergeCells count="4">
    <mergeCell ref="A11:A15"/>
    <mergeCell ref="A16:A20"/>
    <mergeCell ref="A22:A26"/>
    <mergeCell ref="A5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20"/>
  <sheetViews>
    <sheetView workbookViewId="0">
      <selection activeCell="H28" sqref="H28"/>
    </sheetView>
  </sheetViews>
  <sheetFormatPr defaultRowHeight="14.5" x14ac:dyDescent="0.35"/>
  <cols>
    <col min="1" max="1" width="12.453125" style="5" bestFit="1" customWidth="1"/>
    <col min="2" max="2" width="9.1796875" bestFit="1" customWidth="1"/>
    <col min="3" max="4" width="1.81640625" style="3" bestFit="1" customWidth="1"/>
    <col min="5" max="5" width="2.81640625" style="3" bestFit="1" customWidth="1"/>
    <col min="6" max="6" width="1.81640625" style="3" bestFit="1" customWidth="1"/>
    <col min="7" max="7" width="1.81640625" style="2" bestFit="1" customWidth="1"/>
    <col min="8" max="9" width="1.81640625" style="3" bestFit="1" customWidth="1"/>
    <col min="10" max="10" width="1.81640625" style="2" bestFit="1" customWidth="1"/>
    <col min="11" max="11" width="1.81640625" style="3" bestFit="1" customWidth="1"/>
    <col min="12" max="12" width="2.81640625" style="3" bestFit="1" customWidth="1"/>
    <col min="13" max="13" width="2.81640625" style="2" bestFit="1" customWidth="1"/>
    <col min="14" max="15" width="2.81640625" style="3" bestFit="1" customWidth="1"/>
    <col min="16" max="17" width="2.81640625" style="2" bestFit="1" customWidth="1"/>
    <col min="18" max="18" width="2.81640625" style="3" bestFit="1" customWidth="1"/>
    <col min="19" max="19" width="2.81640625" style="2" bestFit="1" customWidth="1"/>
    <col min="20" max="20" width="2.81640625" style="3" bestFit="1" customWidth="1"/>
    <col min="21" max="21" width="2.81640625" style="2" bestFit="1" customWidth="1"/>
    <col min="22" max="22" width="2.81640625" style="3" bestFit="1" customWidth="1"/>
    <col min="23" max="23" width="2.81640625" style="2" bestFit="1" customWidth="1"/>
    <col min="24" max="24" width="2.81640625" style="3" bestFit="1" customWidth="1"/>
    <col min="25" max="25" width="2.81640625" style="2" bestFit="1" customWidth="1"/>
    <col min="26" max="26" width="2.81640625" style="3" bestFit="1" customWidth="1"/>
    <col min="27" max="27" width="2.81640625" style="2" bestFit="1" customWidth="1"/>
    <col min="28" max="28" width="2.81640625" style="3" bestFit="1" customWidth="1"/>
    <col min="29" max="29" width="2.81640625" style="2" bestFit="1" customWidth="1"/>
    <col min="30" max="31" width="2.81640625" style="3" bestFit="1" customWidth="1"/>
    <col min="32" max="32" width="3.81640625" style="2" bestFit="1" customWidth="1"/>
    <col min="33" max="33" width="2.81640625" style="3" bestFit="1" customWidth="1"/>
    <col min="34" max="34" width="8.1796875" style="2" bestFit="1" customWidth="1"/>
  </cols>
  <sheetData>
    <row r="1" spans="1:34" x14ac:dyDescent="0.35">
      <c r="A1" s="5" t="s">
        <v>6</v>
      </c>
    </row>
    <row r="2" spans="1:34" x14ac:dyDescent="0.35">
      <c r="A2" s="5" t="s">
        <v>6</v>
      </c>
    </row>
    <row r="4" spans="1:34" x14ac:dyDescent="0.35">
      <c r="B4">
        <v>2024</v>
      </c>
    </row>
    <row r="5" spans="1:34" ht="18.75" customHeight="1" x14ac:dyDescent="0.35">
      <c r="A5" s="6" t="s">
        <v>7</v>
      </c>
      <c r="B5" t="s">
        <v>0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  <c r="I5" s="1">
        <v>7</v>
      </c>
      <c r="J5" s="1">
        <v>8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  <c r="S5" s="1">
        <v>17</v>
      </c>
      <c r="T5" s="1">
        <v>18</v>
      </c>
      <c r="U5" s="1">
        <v>19</v>
      </c>
      <c r="V5" s="1">
        <v>20</v>
      </c>
      <c r="W5" s="1">
        <v>21</v>
      </c>
      <c r="X5" s="1">
        <v>22</v>
      </c>
      <c r="Y5" s="1">
        <v>23</v>
      </c>
      <c r="Z5" s="1">
        <v>24</v>
      </c>
      <c r="AA5" s="1">
        <v>25</v>
      </c>
      <c r="AB5" s="1">
        <v>26</v>
      </c>
      <c r="AC5" s="1">
        <v>27</v>
      </c>
      <c r="AD5" s="1">
        <v>28</v>
      </c>
      <c r="AE5" s="1">
        <v>29</v>
      </c>
      <c r="AF5" s="1">
        <v>30</v>
      </c>
      <c r="AG5" s="1">
        <v>31</v>
      </c>
      <c r="AH5" s="2" t="s">
        <v>1</v>
      </c>
    </row>
    <row r="6" spans="1:34" ht="18.75" customHeight="1" x14ac:dyDescent="0.35">
      <c r="A6" s="7"/>
      <c r="B6" t="s">
        <v>2</v>
      </c>
      <c r="C6" s="1">
        <v>1</v>
      </c>
      <c r="D6" s="1">
        <v>1</v>
      </c>
      <c r="E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U6" s="1">
        <v>1</v>
      </c>
      <c r="V6" s="1">
        <v>1</v>
      </c>
      <c r="W6" s="1">
        <v>1</v>
      </c>
      <c r="Y6" s="1">
        <v>1</v>
      </c>
      <c r="Z6" s="1">
        <v>1</v>
      </c>
      <c r="AA6" s="1">
        <v>1</v>
      </c>
      <c r="AC6" s="1">
        <v>1</v>
      </c>
      <c r="AF6" s="1">
        <v>4</v>
      </c>
      <c r="AH6" s="4">
        <f>GEOMEAN(C6:AG6)</f>
        <v>1.062127176862691</v>
      </c>
    </row>
    <row r="7" spans="1:34" ht="18.75" customHeight="1" x14ac:dyDescent="0.35">
      <c r="A7" s="7"/>
      <c r="B7" t="s">
        <v>3</v>
      </c>
      <c r="C7" s="1">
        <v>1</v>
      </c>
      <c r="D7" s="1">
        <v>1</v>
      </c>
      <c r="F7" s="1">
        <v>1</v>
      </c>
      <c r="G7" s="1">
        <v>1</v>
      </c>
      <c r="H7" s="1">
        <v>1</v>
      </c>
      <c r="J7" s="1">
        <v>1</v>
      </c>
      <c r="K7" s="1">
        <v>1</v>
      </c>
      <c r="L7" s="1">
        <v>1</v>
      </c>
      <c r="N7" s="1">
        <v>1</v>
      </c>
      <c r="O7" s="1">
        <v>1</v>
      </c>
      <c r="P7" s="1">
        <v>1</v>
      </c>
      <c r="R7" s="1">
        <v>1</v>
      </c>
      <c r="S7" s="1">
        <v>1</v>
      </c>
      <c r="T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B7" s="1">
        <v>1</v>
      </c>
      <c r="AC7" s="1">
        <v>1</v>
      </c>
      <c r="AD7" s="1">
        <v>1</v>
      </c>
      <c r="AE7" s="1">
        <v>4</v>
      </c>
      <c r="AH7" s="4">
        <f>GEOMEAN(C7:AG7)</f>
        <v>1.062127176862691</v>
      </c>
    </row>
    <row r="8" spans="1:34" ht="18.75" customHeight="1" x14ac:dyDescent="0.35">
      <c r="A8" s="7"/>
      <c r="B8" t="s">
        <v>4</v>
      </c>
      <c r="C8" s="1">
        <v>3</v>
      </c>
      <c r="E8" s="1">
        <v>3</v>
      </c>
      <c r="G8" s="1">
        <v>2</v>
      </c>
      <c r="I8" s="1">
        <v>1</v>
      </c>
      <c r="M8" s="1">
        <v>12</v>
      </c>
      <c r="T8" s="1">
        <v>6</v>
      </c>
      <c r="Y8" s="1">
        <v>5</v>
      </c>
      <c r="AA8" s="1">
        <v>4</v>
      </c>
      <c r="AB8" s="1">
        <v>3</v>
      </c>
      <c r="AC8" s="1">
        <v>3</v>
      </c>
      <c r="AD8" s="1">
        <v>3</v>
      </c>
      <c r="AE8" s="1">
        <v>2</v>
      </c>
      <c r="AH8" s="1">
        <v>5</v>
      </c>
    </row>
    <row r="9" spans="1:34" ht="18.75" customHeight="1" x14ac:dyDescent="0.35">
      <c r="A9" s="7"/>
      <c r="B9" t="s">
        <v>5</v>
      </c>
      <c r="E9" s="1">
        <v>12</v>
      </c>
      <c r="F9" s="1">
        <v>3</v>
      </c>
      <c r="H9" s="1">
        <v>4</v>
      </c>
      <c r="K9" s="1">
        <v>5</v>
      </c>
      <c r="M9" s="1">
        <v>6</v>
      </c>
      <c r="P9" s="1">
        <v>7</v>
      </c>
      <c r="Q9" s="1">
        <v>8</v>
      </c>
      <c r="U9" s="1">
        <v>2</v>
      </c>
      <c r="V9" s="1">
        <v>1</v>
      </c>
      <c r="Y9" s="1">
        <v>4</v>
      </c>
      <c r="Z9" s="1">
        <v>3</v>
      </c>
      <c r="AC9" s="1">
        <v>2</v>
      </c>
      <c r="AF9" s="1">
        <v>3</v>
      </c>
    </row>
    <row r="10" spans="1:34" ht="18.75" customHeight="1" x14ac:dyDescent="0.35">
      <c r="A10" s="6" t="s">
        <v>8</v>
      </c>
      <c r="B10" t="s">
        <v>0</v>
      </c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7</v>
      </c>
      <c r="J10" s="1">
        <v>8</v>
      </c>
      <c r="K10" s="1">
        <v>9</v>
      </c>
      <c r="L10" s="1">
        <v>10</v>
      </c>
      <c r="M10" s="1">
        <v>11</v>
      </c>
      <c r="N10" s="1">
        <v>12</v>
      </c>
      <c r="O10" s="1">
        <v>13</v>
      </c>
      <c r="P10" s="1">
        <v>14</v>
      </c>
      <c r="Q10" s="1">
        <v>15</v>
      </c>
      <c r="R10" s="1">
        <v>16</v>
      </c>
      <c r="S10" s="1">
        <v>17</v>
      </c>
      <c r="T10" s="1">
        <v>18</v>
      </c>
      <c r="U10" s="1">
        <v>19</v>
      </c>
      <c r="V10" s="1">
        <v>20</v>
      </c>
      <c r="W10" s="1">
        <v>21</v>
      </c>
      <c r="X10" s="1">
        <v>22</v>
      </c>
      <c r="Y10" s="1">
        <v>23</v>
      </c>
      <c r="Z10" s="1">
        <v>24</v>
      </c>
      <c r="AA10" s="1">
        <v>25</v>
      </c>
      <c r="AB10" s="1">
        <v>26</v>
      </c>
      <c r="AC10" s="1">
        <v>27</v>
      </c>
      <c r="AD10" s="1">
        <v>28</v>
      </c>
      <c r="AE10" s="1">
        <v>29</v>
      </c>
      <c r="AF10" s="1">
        <v>30</v>
      </c>
      <c r="AG10" s="1">
        <v>31</v>
      </c>
      <c r="AH10" s="2" t="s">
        <v>1</v>
      </c>
    </row>
    <row r="11" spans="1:34" ht="18.75" customHeight="1" x14ac:dyDescent="0.35">
      <c r="A11" s="7"/>
      <c r="B11" t="s">
        <v>2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AD11" s="1">
        <v>1</v>
      </c>
      <c r="AE11" s="1">
        <v>1</v>
      </c>
      <c r="AF11" s="1">
        <v>1</v>
      </c>
      <c r="AG11" s="1">
        <v>3</v>
      </c>
      <c r="AH11" s="4">
        <f>GEOMEAN(C11:AG11)</f>
        <v>1.0431597401468851</v>
      </c>
    </row>
    <row r="12" spans="1:34" ht="18.75" customHeight="1" x14ac:dyDescent="0.35">
      <c r="A12" s="7"/>
      <c r="B12" t="s">
        <v>3</v>
      </c>
      <c r="C12" s="1">
        <v>4</v>
      </c>
      <c r="E12" s="1">
        <v>4</v>
      </c>
      <c r="F12" s="1">
        <v>4</v>
      </c>
      <c r="L12" s="1">
        <v>2</v>
      </c>
      <c r="Q12" s="1">
        <v>4</v>
      </c>
      <c r="T12" s="1">
        <v>5</v>
      </c>
      <c r="W12" s="1">
        <v>6</v>
      </c>
      <c r="AA12" s="1">
        <v>7</v>
      </c>
      <c r="AD12" s="1">
        <v>3</v>
      </c>
      <c r="AE12" s="1">
        <v>2</v>
      </c>
      <c r="AF12" s="2">
        <v>4</v>
      </c>
      <c r="AG12" s="1"/>
      <c r="AH12" s="4">
        <f>GEOMEAN(C12:AG12)</f>
        <v>3.8272062165710978</v>
      </c>
    </row>
    <row r="13" spans="1:34" ht="18.75" customHeight="1" x14ac:dyDescent="0.35">
      <c r="A13" s="7"/>
      <c r="B13" t="s">
        <v>4</v>
      </c>
      <c r="D13" s="1">
        <v>1</v>
      </c>
      <c r="E13" s="1">
        <v>4</v>
      </c>
      <c r="F13" s="1">
        <v>3</v>
      </c>
      <c r="G13" s="1">
        <v>3</v>
      </c>
      <c r="I13" s="1">
        <v>3</v>
      </c>
      <c r="J13" s="1">
        <v>2</v>
      </c>
      <c r="L13" s="1">
        <v>2</v>
      </c>
      <c r="N13" s="1">
        <v>3</v>
      </c>
      <c r="S13" s="1">
        <v>21</v>
      </c>
      <c r="T13" s="1">
        <v>3</v>
      </c>
      <c r="U13" s="1">
        <v>1</v>
      </c>
      <c r="W13" s="1">
        <v>23</v>
      </c>
      <c r="X13" s="1">
        <v>3</v>
      </c>
      <c r="Y13" s="1">
        <v>1</v>
      </c>
      <c r="Z13" s="1">
        <v>3</v>
      </c>
      <c r="AA13" s="1">
        <v>12</v>
      </c>
      <c r="AC13" s="1">
        <v>2</v>
      </c>
      <c r="AD13" s="1">
        <v>3</v>
      </c>
      <c r="AF13" s="1">
        <v>312</v>
      </c>
      <c r="AH13" s="1">
        <v>12</v>
      </c>
    </row>
    <row r="14" spans="1:34" ht="18.75" customHeight="1" x14ac:dyDescent="0.35">
      <c r="A14" s="7"/>
      <c r="B14" t="s">
        <v>6</v>
      </c>
      <c r="C14" s="1">
        <v>1</v>
      </c>
      <c r="D14" s="1">
        <v>2</v>
      </c>
      <c r="E14" s="1">
        <v>2</v>
      </c>
      <c r="F14" s="1">
        <v>4</v>
      </c>
      <c r="H14" s="1">
        <v>4</v>
      </c>
      <c r="I14" s="1">
        <v>3</v>
      </c>
      <c r="K14" s="1">
        <v>2</v>
      </c>
      <c r="L14" s="1">
        <v>3</v>
      </c>
      <c r="N14" s="1">
        <v>3</v>
      </c>
      <c r="O14" s="1">
        <v>4</v>
      </c>
      <c r="R14" s="1">
        <v>2</v>
      </c>
      <c r="T14" s="1">
        <v>5</v>
      </c>
      <c r="V14" s="1">
        <v>52</v>
      </c>
      <c r="X14" s="1">
        <v>2</v>
      </c>
      <c r="Z14" s="1">
        <v>3</v>
      </c>
      <c r="AB14" s="1">
        <v>1</v>
      </c>
      <c r="AD14" s="1">
        <v>2</v>
      </c>
      <c r="AE14" s="1">
        <v>1</v>
      </c>
      <c r="AG14" s="1">
        <v>3</v>
      </c>
    </row>
    <row r="15" spans="1:34" x14ac:dyDescent="0.35">
      <c r="B15">
        <v>2025</v>
      </c>
    </row>
    <row r="16" spans="1:34" x14ac:dyDescent="0.35">
      <c r="A16" s="6" t="s">
        <v>8</v>
      </c>
      <c r="B16" t="s">
        <v>0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  <c r="H16" s="1">
        <v>6</v>
      </c>
      <c r="I16" s="1">
        <v>7</v>
      </c>
      <c r="J16" s="1">
        <v>8</v>
      </c>
      <c r="K16" s="1">
        <v>9</v>
      </c>
      <c r="L16" s="1">
        <v>10</v>
      </c>
      <c r="M16" s="1">
        <v>11</v>
      </c>
      <c r="N16" s="1">
        <v>12</v>
      </c>
      <c r="O16" s="1">
        <v>13</v>
      </c>
      <c r="P16" s="1">
        <v>14</v>
      </c>
      <c r="Q16" s="1">
        <v>15</v>
      </c>
      <c r="R16" s="1">
        <v>16</v>
      </c>
      <c r="S16" s="1">
        <v>17</v>
      </c>
      <c r="T16" s="1">
        <v>18</v>
      </c>
      <c r="U16" s="1">
        <v>19</v>
      </c>
      <c r="V16" s="1">
        <v>20</v>
      </c>
      <c r="W16" s="1">
        <v>21</v>
      </c>
      <c r="X16" s="1">
        <v>22</v>
      </c>
      <c r="Y16" s="1">
        <v>23</v>
      </c>
      <c r="Z16" s="1">
        <v>24</v>
      </c>
      <c r="AA16" s="1">
        <v>25</v>
      </c>
      <c r="AB16" s="1">
        <v>26</v>
      </c>
      <c r="AC16" s="1">
        <v>27</v>
      </c>
      <c r="AD16" s="1">
        <v>28</v>
      </c>
      <c r="AE16" s="1">
        <v>29</v>
      </c>
      <c r="AF16" s="1">
        <v>30</v>
      </c>
      <c r="AG16" s="1">
        <v>31</v>
      </c>
      <c r="AH16" s="2" t="s">
        <v>1</v>
      </c>
    </row>
    <row r="17" spans="1:34" x14ac:dyDescent="0.35">
      <c r="A17" s="7"/>
      <c r="B17" t="s">
        <v>2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AD17" s="1">
        <v>1</v>
      </c>
      <c r="AE17" s="1">
        <v>1</v>
      </c>
      <c r="AF17" s="1">
        <v>1</v>
      </c>
      <c r="AG17" s="1">
        <v>3</v>
      </c>
      <c r="AH17" s="4">
        <f>GEOMEAN(C17:AG17)</f>
        <v>1.0431597401468851</v>
      </c>
    </row>
    <row r="18" spans="1:34" x14ac:dyDescent="0.35">
      <c r="A18" s="7"/>
      <c r="B18" t="s">
        <v>3</v>
      </c>
      <c r="C18" s="1">
        <v>4</v>
      </c>
      <c r="E18" s="1">
        <v>4</v>
      </c>
      <c r="F18" s="1">
        <v>4</v>
      </c>
      <c r="L18" s="1">
        <v>2</v>
      </c>
      <c r="Q18" s="1">
        <v>4</v>
      </c>
      <c r="T18" s="1">
        <v>5</v>
      </c>
      <c r="W18" s="1">
        <v>6</v>
      </c>
      <c r="AA18" s="1">
        <v>7</v>
      </c>
      <c r="AD18" s="1">
        <v>3</v>
      </c>
      <c r="AE18" s="1">
        <v>2</v>
      </c>
      <c r="AF18" s="2">
        <v>4</v>
      </c>
      <c r="AG18" s="1"/>
      <c r="AH18" s="4">
        <f>GEOMEAN(C18:AG18)</f>
        <v>3.8272062165710978</v>
      </c>
    </row>
    <row r="19" spans="1:34" x14ac:dyDescent="0.35">
      <c r="A19" s="7"/>
      <c r="B19" t="s">
        <v>4</v>
      </c>
      <c r="D19" s="1">
        <v>1</v>
      </c>
      <c r="E19" s="1">
        <v>4</v>
      </c>
      <c r="F19" s="1">
        <v>3</v>
      </c>
      <c r="G19" s="1">
        <v>3</v>
      </c>
      <c r="I19" s="1">
        <v>3</v>
      </c>
      <c r="J19" s="1">
        <v>2</v>
      </c>
      <c r="L19" s="1">
        <v>2</v>
      </c>
      <c r="N19" s="1">
        <v>3</v>
      </c>
      <c r="S19" s="1">
        <v>21</v>
      </c>
      <c r="T19" s="1">
        <v>3</v>
      </c>
      <c r="U19" s="1">
        <v>1</v>
      </c>
      <c r="W19" s="1">
        <v>23</v>
      </c>
      <c r="X19" s="1">
        <v>3</v>
      </c>
      <c r="Y19" s="1">
        <v>1</v>
      </c>
      <c r="Z19" s="1">
        <v>3</v>
      </c>
      <c r="AA19" s="1">
        <v>12</v>
      </c>
      <c r="AC19" s="1">
        <v>2</v>
      </c>
      <c r="AD19" s="1">
        <v>3</v>
      </c>
      <c r="AF19" s="1">
        <v>312</v>
      </c>
      <c r="AH19" s="1">
        <v>12</v>
      </c>
    </row>
    <row r="20" spans="1:34" x14ac:dyDescent="0.35">
      <c r="A20" s="7"/>
      <c r="B20" t="s">
        <v>6</v>
      </c>
      <c r="C20" s="1">
        <v>1</v>
      </c>
      <c r="D20" s="1">
        <v>2</v>
      </c>
      <c r="E20" s="1">
        <v>2</v>
      </c>
      <c r="F20" s="1">
        <v>4</v>
      </c>
      <c r="H20" s="1">
        <v>4</v>
      </c>
      <c r="I20" s="1">
        <v>3</v>
      </c>
      <c r="K20" s="1">
        <v>2</v>
      </c>
      <c r="L20" s="1">
        <v>3</v>
      </c>
      <c r="N20" s="1">
        <v>3</v>
      </c>
      <c r="O20" s="1">
        <v>4</v>
      </c>
      <c r="R20" s="1">
        <v>2</v>
      </c>
      <c r="T20" s="1">
        <v>5</v>
      </c>
      <c r="V20" s="1">
        <v>52</v>
      </c>
      <c r="X20" s="1">
        <v>2</v>
      </c>
      <c r="Z20" s="1">
        <v>3</v>
      </c>
      <c r="AB20" s="1">
        <v>1</v>
      </c>
      <c r="AD20" s="1">
        <v>2</v>
      </c>
      <c r="AE20" s="1">
        <v>1</v>
      </c>
      <c r="AG20" s="1">
        <v>3</v>
      </c>
    </row>
  </sheetData>
  <mergeCells count="3">
    <mergeCell ref="A5:A9"/>
    <mergeCell ref="A10:A14"/>
    <mergeCell ref="A16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105е</vt:lpstr>
      <vt:lpstr>104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Oleg Rakhmatullin</cp:lastModifiedBy>
  <dcterms:created xsi:type="dcterms:W3CDTF">2025-08-06T19:39:32Z</dcterms:created>
  <dcterms:modified xsi:type="dcterms:W3CDTF">2025-08-10T17:51:11Z</dcterms:modified>
</cp:coreProperties>
</file>